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ETE\Desktop\py-workspace\TASK\MAPUP\SUBMISSION\MapUp-Data-Assessment-F-Prakhar-Raj-Pandey\submissions\"/>
    </mc:Choice>
  </mc:AlternateContent>
  <xr:revisionPtr revIDLastSave="0" documentId="13_ncr:1_{EBD996DB-CEFE-42DD-B172-9B11C93A3A8F}" xr6:coauthVersionLast="47" xr6:coauthVersionMax="47" xr10:uidLastSave="{00000000-0000-0000-0000-000000000000}"/>
  <bookViews>
    <workbookView xWindow="-120" yWindow="-120" windowWidth="29040" windowHeight="1596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F30" i="18"/>
  <c r="E30" i="18"/>
  <c r="D30" i="18"/>
  <c r="C30" i="18"/>
  <c r="C29" i="18"/>
  <c r="D29" i="18"/>
  <c r="E29" i="18"/>
  <c r="F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<sst xmlns="http://schemas.openxmlformats.org/spreadsheetml/2006/main" count="407" uniqueCount="184">
  <si>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</si>
  <si>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</si>
  <si>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</si>
  <si>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</si>
  <si>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</si>
  <si>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</si>
  <si>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</si>
  <si>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</si>
  <si>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</si>
  <si>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</si>
  <si>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</si>
  <si>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</si>
  <si>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</si>
  <si>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</si>
  <si>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</si>
  <si>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</si>
  <si>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</si>
  <si>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</si>
  <si>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</si>
  <si>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</si>
  <si>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</si>
  <si>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</si>
  <si>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</si>
  <si>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</si>
  <si>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</si>
  <si>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</si>
  <si>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</si>
  <si>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</si>
  <si>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</si>
  <si>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</si>
  <si>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</si>
  <si>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</si>
  <si>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</si>
  <si>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</si>
  <si>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</si>
  <si>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</si>
  <si>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</si>
  <si>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</si>
  <si>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</si>
  <si>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</si>
  <si>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</si>
  <si>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</si>
  <si>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</si>
  <si>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</si>
  <si>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</si>
  <si>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</si>
  <si>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</si>
  <si>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</si>
  <si>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</si>
  <si>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</si>
  <si>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</si>
  <si>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</si>
  <si>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</si>
  <si>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</si>
  <si>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</si>
  <si>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</si>
  <si>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</si>
  <si>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</si>
  <si>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</si>
  <si>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</si>
  <si>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</si>
  <si>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</si>
  <si>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</si>
  <si>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</si>
  <si>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</si>
  <si>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</si>
  <si>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</si>
  <si>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</si>
  <si>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</si>
  <si>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</si>
  <si>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</si>
  <si>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</si>
  <si>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</si>
  <si>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</si>
  <si>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</si>
  <si>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</si>
  <si>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</si>
  <si>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</si>
  <si>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</si>
  <si>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</si>
  <si>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</si>
  <si>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</si>
  <si>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</si>
  <si>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</si>
  <si>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</si>
  <si>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</si>
  <si>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</si>
  <si>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</si>
  <si>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</si>
  <si>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</si>
  <si>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</si>
  <si>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</si>
  <si>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</si>
  <si>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</si>
  <si>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</si>
  <si>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</si>
  <si>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</si>
  <si>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</si>
  <si>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</si>
  <si>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</si>
  <si>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</si>
  <si>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</si>
  <si>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</si>
  <si>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</si>
  <si>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</si>
  <si>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</si>
  <si>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</si>
  <si>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</si>
  <si>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</si>
  <si>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</si>
  <si>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</si>
  <si>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</si>
  <si>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</si>
  <si>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</si>
  <si>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</si>
  <si>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</si>
  <si>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</si>
  <si>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</si>
  <si>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</si>
  <si>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</si>
  <si>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</si>
  <si>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</si>
  <si>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</si>
  <si>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</si>
  <si>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</si>
  <si>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</si>
  <si>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</si>
  <si>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</si>
  <si>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</si>
  <si>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</si>
  <si>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</si>
  <si>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</si>
  <si>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</si>
  <si>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</si>
  <si>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</si>
  <si>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</si>
  <si>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</si>
  <si>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</si>
  <si>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</si>
  <si>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</si>
  <si>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</si>
  <si>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</si>
  <si>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</si>
  <si>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</si>
  <si>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</si>
  <si>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</si>
  <si>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</si>
  <si>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</si>
  <si>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</si>
  <si>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</si>
  <si>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</si>
  <si>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</si>
  <si>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</si>
  <si>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</si>
  <si>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</si>
  <si>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</si>
  <si>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</si>
  <si>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</si>
  <si>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</si>
  <si>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</si>
  <si>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</si>
  <si>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</si>
  <si>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</si>
  <si>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</si>
  <si>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</si>
  <si>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</si>
  <si>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</si>
  <si>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</si>
  <si>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</si>
  <si>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</si>
  <si>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</si>
  <si>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</si>
  <si>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</si>
  <si>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</si>
  <si>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</si>
  <si>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</si>
  <si>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</si>
  <si>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</si>
  <si>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VLOOKUP(VLOOKUP(A23,$M$10:$N$18,2,FALSE),$A$10:$J$18,MATCH(VLOOKUP(B23,$M$10:$N$18,2,FALSE),$B$9:$J$9,0)+1)</t>
  </si>
  <si>
    <t>To convert the text of format "20000-Monday-0-Sunday-24" in a cell to columns in Excel, I used the "Text to Columns" feature, selecting "Delimited" and specifying "-" (hyphen) as the delimiter to separate the text into individual columns based on the hyphen.</t>
  </si>
  <si>
    <t>To fill the "value" column in Table_C, the above formula is used, which cross-references IDs in Table_B with their corresponding names, and then fetches the corresponding values from Table_A based on these names using the MATCH formula to match "name_2" to columns of Table_A and get the specific column number that is used in the VLOOKUP formula.</t>
  </si>
  <si>
    <t>The formula in Excel sums the range C12 to C21, replacing any #N/A errors with 20 in the calculation</t>
  </si>
  <si>
    <t>{SUM(IF(ISNA(C12:C21),20,C12:C21))}</t>
  </si>
  <si>
    <t>Convert Text to Columns feature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</si>
</sst>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4" fontId="4" fillId="0" borderId="0" xfId="0" applyNumberFormat="1" applyFont="1"/>
    <xf numFmtId="4" fontId="7" fillId="2" borderId="0" xfId="0" applyNumberFormat="1" applyFont="1" applyFill="1"/>
    <xf numFmtId="4" fontId="7" fillId="3" borderId="0" xfId="0" applyNumberFormat="1" applyFont="1" applyFill="1"/>
    <xf numFmtId="4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60" zoomScaleNormal="160" workbookViewId="0">
      <selection activeCell="A15" sqref="A15"/>
    </sheetView>
  </sheetViews>
  <sheetFormatPr defaultColWidth="11" defaultRowHeight="12.75" x14ac:dyDescent="0.2"/>
  <cols>
    <col min="1" max="1" width="87.5" style="2" customWidth="1"/>
    <col min="2" max="16384" width="11" style="2"/>
  </cols>
  <sheetData>
    <row r="1" spans="1:3" ht="18.75" x14ac:dyDescent="0.3">
      <c r="A1" s="34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114</v>
      </c>
    </row>
    <row r="8" spans="1:3" x14ac:dyDescent="0.2">
      <c r="A8" s="2" t="s">
        <v>135</v>
      </c>
    </row>
    <row r="9" spans="1:3" x14ac:dyDescent="0.2">
      <c r="A9" s="31" t="s">
        <v>133</v>
      </c>
      <c r="B9" s="25" t="s">
        <v>131</v>
      </c>
    </row>
    <row r="10" spans="1:3" x14ac:dyDescent="0.2">
      <c r="A10" s="30" t="s">
        <v>134</v>
      </c>
      <c r="B10" s="32">
        <v>25</v>
      </c>
    </row>
    <row r="11" spans="1:3" x14ac:dyDescent="0.2">
      <c r="A11" s="30" t="s">
        <v>55</v>
      </c>
      <c r="B11" s="32">
        <v>30</v>
      </c>
    </row>
    <row r="12" spans="1:3" x14ac:dyDescent="0.2">
      <c r="A12" s="30" t="s">
        <v>56</v>
      </c>
      <c r="B12" s="32">
        <v>10</v>
      </c>
    </row>
    <row r="13" spans="1:3" x14ac:dyDescent="0.2">
      <c r="A13" s="30" t="s">
        <v>85</v>
      </c>
      <c r="B13" s="32">
        <v>20</v>
      </c>
    </row>
    <row r="14" spans="1:3" x14ac:dyDescent="0.2">
      <c r="A14" s="30" t="s">
        <v>98</v>
      </c>
      <c r="B14" s="32">
        <v>40</v>
      </c>
    </row>
    <row r="15" spans="1:3" x14ac:dyDescent="0.2">
      <c r="A15" s="33" t="s">
        <v>132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D1" zoomScaleNormal="100" workbookViewId="0">
      <pane ySplit="1" topLeftCell="A2" activePane="bottomLeft" state="frozen"/>
      <selection activeCell="D1" sqref="D1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14.1640625" style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43" customFormat="1" ht="14.85" customHeight="1" x14ac:dyDescent="0.25">
      <c r="A1" s="40" t="s">
        <v>64</v>
      </c>
      <c r="B1" s="40" t="s">
        <v>43</v>
      </c>
      <c r="C1" s="40" t="s">
        <v>0</v>
      </c>
      <c r="D1" s="40" t="s">
        <v>1</v>
      </c>
      <c r="E1" s="40" t="s">
        <v>2</v>
      </c>
      <c r="F1" s="40" t="s">
        <v>3</v>
      </c>
      <c r="G1" s="41" t="s">
        <v>79</v>
      </c>
      <c r="H1" s="41" t="s">
        <v>65</v>
      </c>
      <c r="I1" s="41" t="s">
        <v>66</v>
      </c>
      <c r="J1" s="42" t="s">
        <v>67</v>
      </c>
      <c r="K1" s="42" t="s">
        <v>68</v>
      </c>
      <c r="L1" s="42" t="s">
        <v>69</v>
      </c>
      <c r="M1" s="41" t="s">
        <v>70</v>
      </c>
      <c r="N1" s="41" t="s">
        <v>71</v>
      </c>
      <c r="O1" s="41" t="s">
        <v>72</v>
      </c>
      <c r="P1" s="42" t="s">
        <v>73</v>
      </c>
      <c r="Q1" s="42" t="s">
        <v>74</v>
      </c>
      <c r="R1" s="42" t="s">
        <v>75</v>
      </c>
      <c r="S1" s="41" t="s">
        <v>80</v>
      </c>
      <c r="T1" s="41" t="s">
        <v>76</v>
      </c>
      <c r="U1" s="42" t="s">
        <v>81</v>
      </c>
      <c r="V1" s="42" t="s">
        <v>77</v>
      </c>
      <c r="W1" s="42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25"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75" zoomScaleNormal="175" workbookViewId="0">
      <selection activeCell="B14" sqref="B14"/>
    </sheetView>
  </sheetViews>
  <sheetFormatPr defaultColWidth="11" defaultRowHeight="15" x14ac:dyDescent="0.25"/>
  <cols>
    <col min="1" max="1" width="8.33203125" style="1" bestFit="1" customWidth="1"/>
    <col min="2" max="2" width="72.6640625" style="1" customWidth="1"/>
    <col min="3" max="3" width="41.332031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25">
      <c r="A2" s="2"/>
      <c r="B2" s="5" t="s">
        <v>122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29" t="s">
        <v>139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6" sqref="E36"/>
    </sheetView>
  </sheetViews>
  <sheetFormatPr defaultColWidth="11" defaultRowHeight="12.75" x14ac:dyDescent="0.2"/>
  <cols>
    <col min="1" max="1" width="20.832031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6" customFormat="1" ht="21" x14ac:dyDescent="0.35">
      <c r="A1" s="37" t="s">
        <v>55</v>
      </c>
      <c r="B1" s="36" t="s">
        <v>126</v>
      </c>
    </row>
    <row r="2" spans="1:7" s="36" customFormat="1" ht="21" x14ac:dyDescent="0.35">
      <c r="B2" s="36" t="s">
        <v>123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124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VLOOKUP($A6,Dataset!A:X,7,FALSE)</f>
        <v>2.7</v>
      </c>
      <c r="C6" s="11">
        <f>VLOOKUP($A6,Dataset!$A:$X,14,FALSE)</f>
        <v>7.6</v>
      </c>
      <c r="D6" s="11">
        <f>VLOOKUP($A6,Dataset!$A:$X,18,FALSE)</f>
        <v>4.2</v>
      </c>
      <c r="E6" s="11">
        <f>VLOOKUP($A6,Dataset!$A:$X,20,FALSE)</f>
        <v>8.9</v>
      </c>
      <c r="F6" s="11">
        <f>VLOOKUP($A6,Dataset!$A:$X,22,FALSE)</f>
        <v>4.2</v>
      </c>
    </row>
    <row r="7" spans="1:7" ht="15" x14ac:dyDescent="0.25">
      <c r="A7" s="7" t="s">
        <v>4</v>
      </c>
      <c r="B7" s="11">
        <f>VLOOKUP($A7,Dataset!A:X,7,FALSE)</f>
        <v>2.7</v>
      </c>
      <c r="C7" s="11">
        <f>VLOOKUP($A7,Dataset!$A:$X,14,FALSE)</f>
        <v>7.6</v>
      </c>
      <c r="D7" s="11">
        <f>VLOOKUP($A7,Dataset!$A:$X,18,FALSE)</f>
        <v>4.2</v>
      </c>
      <c r="E7" s="11">
        <f>VLOOKUP($A7,Dataset!$A:$X,20,FALSE)</f>
        <v>8.9</v>
      </c>
      <c r="F7" s="11">
        <f>VLOOKUP($A7,Dataset!$A:$X,22,FALSE)</f>
        <v>4.2</v>
      </c>
    </row>
    <row r="8" spans="1:7" ht="15" x14ac:dyDescent="0.25">
      <c r="A8" s="7" t="s">
        <v>7</v>
      </c>
      <c r="B8" s="11">
        <f>VLOOKUP($A8,Dataset!A:X,7,FALSE)</f>
        <v>3.6</v>
      </c>
      <c r="C8" s="11">
        <f>VLOOKUP($A8,Dataset!$A:$X,14,FALSE)</f>
        <v>11.1</v>
      </c>
      <c r="D8" s="11">
        <f>VLOOKUP($A8,Dataset!$A:$X,18,FALSE)</f>
        <v>5.8</v>
      </c>
      <c r="E8" s="11">
        <f>VLOOKUP($A8,Dataset!$A:$X,20,FALSE)</f>
        <v>12.2</v>
      </c>
      <c r="F8" s="11">
        <f>VLOOKUP($A8,Dataset!$A:$X,22,FALSE)</f>
        <v>5.8</v>
      </c>
    </row>
    <row r="9" spans="1:7" ht="15" x14ac:dyDescent="0.25">
      <c r="A9" s="7" t="s">
        <v>8</v>
      </c>
      <c r="B9" s="11">
        <f>VLOOKUP($A9,Dataset!A:X,7,FALSE)</f>
        <v>4.9000000000000004</v>
      </c>
      <c r="C9" s="11">
        <f>VLOOKUP($A9,Dataset!$A:$X,14,FALSE)</f>
        <v>13.3</v>
      </c>
      <c r="D9" s="11">
        <f>VLOOKUP($A9,Dataset!$A:$X,18,FALSE)</f>
        <v>8.1</v>
      </c>
      <c r="E9" s="11">
        <f>VLOOKUP($A9,Dataset!$A:$X,20,FALSE)</f>
        <v>17</v>
      </c>
      <c r="F9" s="11">
        <f>VLOOKUP($A9,Dataset!$A:$X,22,FALSE)</f>
        <v>8.1</v>
      </c>
    </row>
    <row r="10" spans="1:7" ht="15" x14ac:dyDescent="0.25">
      <c r="A10" s="7" t="s">
        <v>11</v>
      </c>
      <c r="B10" s="11">
        <f>VLOOKUP($A10,Dataset!A:X,7,FALSE)</f>
        <v>9.4</v>
      </c>
      <c r="C10" s="11">
        <f>VLOOKUP($A10,Dataset!$A:$X,14,FALSE)</f>
        <v>28.3</v>
      </c>
      <c r="D10" s="11">
        <f>VLOOKUP($A10,Dataset!$A:$X,18,FALSE)</f>
        <v>16.100000000000001</v>
      </c>
      <c r="E10" s="11">
        <f>VLOOKUP($A10,Dataset!$A:$X,20,FALSE)</f>
        <v>32.799999999999997</v>
      </c>
      <c r="F10" s="11">
        <f>VLOOKUP($A10,Dataset!$A:$X,22,FALSE)</f>
        <v>16.100000000000001</v>
      </c>
    </row>
    <row r="11" spans="1:7" ht="15" x14ac:dyDescent="0.25">
      <c r="A11" s="7" t="s">
        <v>12</v>
      </c>
      <c r="B11" s="11">
        <f>VLOOKUP($A11,Dataset!A:X,7,FALSE)</f>
        <v>11.6</v>
      </c>
      <c r="C11" s="11">
        <f>VLOOKUP($A11,Dataset!$A:$X,14,FALSE)</f>
        <v>35.200000000000003</v>
      </c>
      <c r="D11" s="11">
        <f>VLOOKUP($A11,Dataset!$A:$X,18,FALSE)</f>
        <v>21.3</v>
      </c>
      <c r="E11" s="11">
        <f>VLOOKUP($A11,Dataset!$A:$X,20,FALSE)</f>
        <v>43</v>
      </c>
      <c r="F11" s="11">
        <f>VLOOKUP($A11,Dataset!$A:$X,22,FALSE)</f>
        <v>21.3</v>
      </c>
    </row>
    <row r="12" spans="1:7" ht="15" x14ac:dyDescent="0.25">
      <c r="A12" s="7" t="s">
        <v>14</v>
      </c>
      <c r="B12" s="11">
        <f>VLOOKUP($A12,Dataset!A:X,7,FALSE)</f>
        <v>18.399999999999999</v>
      </c>
      <c r="C12" s="11">
        <f>VLOOKUP($A12,Dataset!$A:$X,14,FALSE)</f>
        <v>55.6</v>
      </c>
      <c r="D12" s="11">
        <f>VLOOKUP($A12,Dataset!$A:$X,18,FALSE)</f>
        <v>33.799999999999997</v>
      </c>
      <c r="E12" s="11">
        <f>VLOOKUP($A12,Dataset!$A:$X,20,FALSE)</f>
        <v>67.900000000000006</v>
      </c>
      <c r="F12" s="11">
        <f>VLOOKUP($A12,Dataset!$A:$X,22,FALSE)</f>
        <v>33.799999999999997</v>
      </c>
    </row>
    <row r="13" spans="1:7" ht="15" x14ac:dyDescent="0.25">
      <c r="A13" s="7" t="s">
        <v>15</v>
      </c>
      <c r="B13" s="11">
        <f>VLOOKUP($A13,Dataset!A:X,7,FALSE)</f>
        <v>0</v>
      </c>
      <c r="C13" s="11">
        <f>VLOOKUP($A13,Dataset!$A:$X,14,FALSE)</f>
        <v>0</v>
      </c>
      <c r="D13" s="11">
        <f>VLOOKUP($A13,Dataset!$A:$X,18,FALSE)</f>
        <v>0</v>
      </c>
      <c r="E13" s="11">
        <f>VLOOKUP($A13,Dataset!$A:$X,20,FALSE)</f>
        <v>0</v>
      </c>
      <c r="F13" s="11">
        <f>VLOOKUP($A13,Dataset!$A:$X,22,FALSE)</f>
        <v>0</v>
      </c>
    </row>
    <row r="14" spans="1:7" ht="15" x14ac:dyDescent="0.25">
      <c r="A14" s="7" t="s">
        <v>16</v>
      </c>
      <c r="B14" s="11">
        <f>VLOOKUP($A14,Dataset!A:X,7,FALSE)</f>
        <v>21.9</v>
      </c>
      <c r="C14" s="11">
        <f>VLOOKUP($A14,Dataset!$A:$X,14,FALSE)</f>
        <v>61.5</v>
      </c>
      <c r="D14" s="11">
        <f>VLOOKUP($A14,Dataset!$A:$X,18,FALSE)</f>
        <v>40.1</v>
      </c>
      <c r="E14" s="11">
        <f>VLOOKUP($A14,Dataset!$A:$X,20,FALSE)</f>
        <v>76.599999999999994</v>
      </c>
      <c r="F14" s="11">
        <f>VLOOKUP($A14,Dataset!$A:$X,22,FALSE)</f>
        <v>40.1</v>
      </c>
    </row>
    <row r="15" spans="1:7" ht="15" x14ac:dyDescent="0.25">
      <c r="A15" s="7" t="s">
        <v>18</v>
      </c>
      <c r="B15" s="11">
        <f>VLOOKUP($A15,Dataset!A:X,7,FALSE)</f>
        <v>26.8</v>
      </c>
      <c r="C15" s="11">
        <f>VLOOKUP($A15,Dataset!$A:$X,14,FALSE)</f>
        <v>79.599999999999994</v>
      </c>
      <c r="D15" s="11">
        <f>VLOOKUP($A15,Dataset!$A:$X,18,FALSE)</f>
        <v>47.9</v>
      </c>
      <c r="E15" s="11">
        <f>VLOOKUP($A15,Dataset!$A:$X,20,FALSE)</f>
        <v>96.8</v>
      </c>
      <c r="F15" s="11">
        <f>VLOOKUP($A15,Dataset!$A:$X,22,FALSE)</f>
        <v>47.9</v>
      </c>
    </row>
    <row r="16" spans="1:7" ht="15" x14ac:dyDescent="0.25">
      <c r="A16" s="7" t="s">
        <v>20</v>
      </c>
      <c r="B16" s="11">
        <f>VLOOKUP($A16,Dataset!A:X,7,FALSE)</f>
        <v>28.5</v>
      </c>
      <c r="C16" s="11">
        <f>VLOOKUP($A16,Dataset!$A:$X,14,FALSE)</f>
        <v>85.4</v>
      </c>
      <c r="D16" s="11">
        <f>VLOOKUP($A16,Dataset!$A:$X,18,FALSE)</f>
        <v>52.3</v>
      </c>
      <c r="E16" s="11">
        <f>VLOOKUP($A16,Dataset!$A:$X,20,FALSE)</f>
        <v>106.1</v>
      </c>
      <c r="F16" s="11">
        <f>VLOOKUP($A16,Dataset!$A:$X,22,FALSE)</f>
        <v>52.3</v>
      </c>
    </row>
    <row r="17" spans="1:6" ht="15" x14ac:dyDescent="0.25">
      <c r="A17" s="7" t="s">
        <v>22</v>
      </c>
      <c r="B17" s="11">
        <f>VLOOKUP($A17,Dataset!A:X,7,FALSE)</f>
        <v>30.7</v>
      </c>
      <c r="C17" s="11">
        <f>VLOOKUP($A17,Dataset!$A:$X,14,FALSE)</f>
        <v>92.1</v>
      </c>
      <c r="D17" s="11">
        <f>VLOOKUP($A17,Dataset!$A:$X,18,FALSE)</f>
        <v>57</v>
      </c>
      <c r="E17" s="11">
        <f>VLOOKUP($A17,Dataset!$A:$X,20,FALSE)</f>
        <v>115.1</v>
      </c>
      <c r="F17" s="11">
        <f>VLOOKUP($A17,Dataset!$A:$X,22,FALSE)</f>
        <v>57</v>
      </c>
    </row>
    <row r="18" spans="1:6" ht="15" x14ac:dyDescent="0.25">
      <c r="A18" s="7" t="s">
        <v>23</v>
      </c>
      <c r="B18" s="11">
        <f>VLOOKUP($A18,Dataset!A:X,7,FALSE)</f>
        <v>33.799999999999997</v>
      </c>
      <c r="C18" s="11">
        <f>VLOOKUP($A18,Dataset!$A:$X,14,FALSE)</f>
        <v>101.3</v>
      </c>
      <c r="D18" s="11">
        <f>VLOOKUP($A18,Dataset!$A:$X,18,FALSE)</f>
        <v>61.4</v>
      </c>
      <c r="E18" s="11">
        <f>VLOOKUP($A18,Dataset!$A:$X,20,FALSE)</f>
        <v>124.4</v>
      </c>
      <c r="F18" s="11">
        <f>VLOOKUP($A18,Dataset!$A:$X,22,FALSE)</f>
        <v>61.4</v>
      </c>
    </row>
    <row r="19" spans="1:6" ht="15" x14ac:dyDescent="0.25">
      <c r="A19" s="7" t="s">
        <v>24</v>
      </c>
      <c r="B19" s="11">
        <f>VLOOKUP($A19,Dataset!A:X,7,FALSE)</f>
        <v>34.700000000000003</v>
      </c>
      <c r="C19" s="11">
        <f>VLOOKUP($A19,Dataset!$A:$X,14,FALSE)</f>
        <v>106.1</v>
      </c>
      <c r="D19" s="11">
        <f>VLOOKUP($A19,Dataset!$A:$X,18,FALSE)</f>
        <v>63.6</v>
      </c>
      <c r="E19" s="11">
        <f>VLOOKUP($A19,Dataset!$A:$X,20,FALSE)</f>
        <v>128.6</v>
      </c>
      <c r="F19" s="11">
        <f>VLOOKUP($A19,Dataset!$A:$X,22,FALSE)</f>
        <v>63.6</v>
      </c>
    </row>
    <row r="20" spans="1:6" ht="15" x14ac:dyDescent="0.25">
      <c r="A20" s="7" t="s">
        <v>28</v>
      </c>
      <c r="B20" s="11">
        <f>VLOOKUP($A20,Dataset!A:X,7,FALSE)</f>
        <v>0</v>
      </c>
      <c r="C20" s="11">
        <f>VLOOKUP($A20,Dataset!$A:$X,14,FALSE)</f>
        <v>0</v>
      </c>
      <c r="D20" s="11">
        <f>VLOOKUP($A20,Dataset!$A:$X,18,FALSE)</f>
        <v>0</v>
      </c>
      <c r="E20" s="11">
        <f>VLOOKUP($A20,Dataset!$A:$X,20,FALSE)</f>
        <v>0</v>
      </c>
      <c r="F20" s="11">
        <f>VLOOKUP($A20,Dataset!$A:$X,22,FALSE)</f>
        <v>0</v>
      </c>
    </row>
    <row r="21" spans="1:6" ht="15" x14ac:dyDescent="0.25">
      <c r="A21" s="7" t="s">
        <v>57</v>
      </c>
      <c r="B21" s="11">
        <f>VLOOKUP($A21,Dataset!A:X,7,FALSE)</f>
        <v>41.3</v>
      </c>
      <c r="C21" s="11">
        <f>VLOOKUP($A21,Dataset!$A:$X,14,FALSE)</f>
        <v>124.4</v>
      </c>
      <c r="D21" s="11">
        <f>VLOOKUP($A21,Dataset!$A:$X,18,FALSE)</f>
        <v>75</v>
      </c>
      <c r="E21" s="11">
        <f>VLOOKUP($A21,Dataset!$A:$X,20,FALSE)</f>
        <v>151.5</v>
      </c>
      <c r="F21" s="11">
        <f>VLOOKUP($A21,Dataset!$A:$X,22,FALSE)</f>
        <v>75</v>
      </c>
    </row>
    <row r="22" spans="1:6" ht="15" x14ac:dyDescent="0.25">
      <c r="A22" s="7" t="s">
        <v>58</v>
      </c>
      <c r="B22" s="11">
        <f>VLOOKUP($A22,Dataset!A:X,7,FALSE)</f>
        <v>-1</v>
      </c>
      <c r="C22" s="11">
        <f>VLOOKUP($A22,Dataset!$A:$X,14,FALSE)</f>
        <v>-1</v>
      </c>
      <c r="D22" s="11">
        <f>VLOOKUP($A22,Dataset!$A:$X,18,FALSE)</f>
        <v>-1</v>
      </c>
      <c r="E22" s="11">
        <f>VLOOKUP($A22,Dataset!$A:$X,20,FALSE)</f>
        <v>-1</v>
      </c>
      <c r="F22" s="11">
        <f>VLOOKUP($A22,Dataset!$A:$X,22,FALSE)</f>
        <v>-1</v>
      </c>
    </row>
    <row r="23" spans="1:6" ht="15" x14ac:dyDescent="0.25">
      <c r="A23" s="7" t="s">
        <v>31</v>
      </c>
      <c r="B23" s="11">
        <f>VLOOKUP($A23,Dataset!A:X,7,FALSE)</f>
        <v>45</v>
      </c>
      <c r="C23" s="11">
        <f>VLOOKUP($A23,Dataset!$A:$X,14,FALSE)</f>
        <v>133.4</v>
      </c>
      <c r="D23" s="11">
        <f>VLOOKUP($A23,Dataset!$A:$X,18,FALSE)</f>
        <v>79.400000000000006</v>
      </c>
      <c r="E23" s="11">
        <f>VLOOKUP($A23,Dataset!$A:$X,20,FALSE)</f>
        <v>160.9</v>
      </c>
      <c r="F23" s="11">
        <f>VLOOKUP($A23,Dataset!$A:$X,22,FALSE)</f>
        <v>79.400000000000006</v>
      </c>
    </row>
    <row r="24" spans="1:6" ht="15" x14ac:dyDescent="0.25">
      <c r="A24" s="7" t="s">
        <v>32</v>
      </c>
      <c r="B24" s="11">
        <f>VLOOKUP($A24,Dataset!A:X,7,FALSE)</f>
        <v>-1</v>
      </c>
      <c r="C24" s="11">
        <f>VLOOKUP($A24,Dataset!$A:$X,14,FALSE)</f>
        <v>-1</v>
      </c>
      <c r="D24" s="11">
        <f>VLOOKUP($A24,Dataset!$A:$X,18,FALSE)</f>
        <v>-1</v>
      </c>
      <c r="E24" s="11">
        <f>VLOOKUP($A24,Dataset!$A:$X,20,FALSE)</f>
        <v>-1</v>
      </c>
      <c r="F24" s="11">
        <f>VLOOKUP($A24,Dataset!$A:$X,22,FALSE)</f>
        <v>-1</v>
      </c>
    </row>
    <row r="25" spans="1:6" ht="15" x14ac:dyDescent="0.25">
      <c r="A25" s="7" t="s">
        <v>34</v>
      </c>
      <c r="B25" s="11">
        <f>VLOOKUP($A25,Dataset!A:X,7,FALSE)</f>
        <v>43.3</v>
      </c>
      <c r="C25" s="11">
        <f>VLOOKUP($A25,Dataset!$A:$X,14,FALSE)</f>
        <v>128.6</v>
      </c>
      <c r="D25" s="11">
        <f>VLOOKUP($A25,Dataset!$A:$X,18,FALSE)</f>
        <v>79.400000000000006</v>
      </c>
      <c r="E25" s="11">
        <f>VLOOKUP($A25,Dataset!$A:$X,20,FALSE)</f>
        <v>160.9</v>
      </c>
      <c r="F25" s="11">
        <f>VLOOKUP($A25,Dataset!$A:$X,22,FALSE)</f>
        <v>79.400000000000006</v>
      </c>
    </row>
    <row r="26" spans="1:6" ht="15" x14ac:dyDescent="0.25">
      <c r="A26" s="7" t="s">
        <v>37</v>
      </c>
      <c r="B26" s="11">
        <f>VLOOKUP($A26,Dataset!A:X,7,FALSE)</f>
        <v>49.1</v>
      </c>
      <c r="C26" s="11">
        <f>VLOOKUP($A26,Dataset!$A:$X,14,FALSE)</f>
        <v>146.80000000000001</v>
      </c>
      <c r="D26" s="11">
        <f>VLOOKUP($A26,Dataset!$A:$X,18,FALSE)</f>
        <v>90.9</v>
      </c>
      <c r="E26" s="11">
        <f>VLOOKUP($A26,Dataset!$A:$X,20,FALSE)</f>
        <v>183.5</v>
      </c>
      <c r="F26" s="11">
        <f>VLOOKUP($A26,Dataset!$A:$X,22,FALSE)</f>
        <v>90.9</v>
      </c>
    </row>
    <row r="27" spans="1:6" ht="15" x14ac:dyDescent="0.25">
      <c r="A27" s="7" t="s">
        <v>39</v>
      </c>
      <c r="B27" s="11">
        <f>VLOOKUP($A27,Dataset!A:X,7,FALSE)</f>
        <v>51.8</v>
      </c>
      <c r="C27" s="11">
        <f>VLOOKUP($A27,Dataset!$A:$X,14,FALSE)</f>
        <v>156.4</v>
      </c>
      <c r="D27" s="11">
        <f>VLOOKUP($A27,Dataset!$A:$X,18,FALSE)</f>
        <v>93.1</v>
      </c>
      <c r="E27" s="11">
        <f>VLOOKUP($A27,Dataset!$A:$X,20,FALSE)</f>
        <v>188.1</v>
      </c>
      <c r="F27" s="11">
        <f>VLOOKUP($A27,Dataset!$A:$X,22,FALSE)</f>
        <v>93.1</v>
      </c>
    </row>
    <row r="28" spans="1:6" ht="15" x14ac:dyDescent="0.25">
      <c r="A28" s="18" t="s">
        <v>82</v>
      </c>
      <c r="B28" s="26">
        <f>MIN(B6:B27)</f>
        <v>-1</v>
      </c>
      <c r="C28" s="26">
        <f>MIN(C6:C27)</f>
        <v>-1</v>
      </c>
      <c r="D28" s="26">
        <f t="shared" ref="D28:F28" si="0">MIN(D6:D27)</f>
        <v>-1</v>
      </c>
      <c r="E28" s="26">
        <f t="shared" si="0"/>
        <v>-1</v>
      </c>
      <c r="F28" s="26">
        <f t="shared" si="0"/>
        <v>-1</v>
      </c>
    </row>
    <row r="29" spans="1:6" ht="15" x14ac:dyDescent="0.25">
      <c r="A29" s="18" t="s">
        <v>83</v>
      </c>
      <c r="B29" s="26">
        <f>MAX(B6:B27)</f>
        <v>51.8</v>
      </c>
      <c r="C29" s="26">
        <f t="shared" ref="C29:F29" si="1">MAX(C6:C27)</f>
        <v>156.4</v>
      </c>
      <c r="D29" s="26">
        <f t="shared" si="1"/>
        <v>93.1</v>
      </c>
      <c r="E29" s="26">
        <f t="shared" si="1"/>
        <v>188.1</v>
      </c>
      <c r="F29" s="26">
        <f t="shared" si="1"/>
        <v>93.1</v>
      </c>
    </row>
    <row r="30" spans="1:6" ht="15" x14ac:dyDescent="0.25">
      <c r="A30" s="18" t="s">
        <v>84</v>
      </c>
      <c r="B30" s="26">
        <f>AVERAGE(B6:B27)</f>
        <v>20.827272727272728</v>
      </c>
      <c r="C30" s="26">
        <f t="shared" ref="C30:F30" si="2">AVERAGE(C6:C27)</f>
        <v>62.377272727272725</v>
      </c>
      <c r="D30" s="26">
        <f t="shared" si="2"/>
        <v>37.800000000000004</v>
      </c>
      <c r="E30" s="26">
        <f t="shared" si="2"/>
        <v>76.418181818181822</v>
      </c>
      <c r="F30" s="26">
        <f t="shared" si="2"/>
        <v>37.800000000000004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6" customFormat="1" ht="21" x14ac:dyDescent="0.35">
      <c r="A1" s="37" t="s">
        <v>56</v>
      </c>
      <c r="B1" s="36" t="s">
        <v>136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113</v>
      </c>
    </row>
    <row r="5" spans="1:10" ht="18.75" x14ac:dyDescent="0.3">
      <c r="A5" s="38" t="s">
        <v>53</v>
      </c>
      <c r="B5" s="35" t="s">
        <v>183</v>
      </c>
    </row>
    <row r="6" spans="1:10" ht="18.75" x14ac:dyDescent="0.3">
      <c r="A6" s="38" t="s">
        <v>115</v>
      </c>
      <c r="B6" s="35" t="s">
        <v>179</v>
      </c>
    </row>
    <row r="7" spans="1:10" ht="18.75" x14ac:dyDescent="0.3">
      <c r="A7" s="38"/>
      <c r="B7" s="35"/>
    </row>
    <row r="9" spans="1:10" ht="23.25" x14ac:dyDescent="0.35">
      <c r="A9" s="17" t="s">
        <v>127</v>
      </c>
      <c r="I9" s="2"/>
      <c r="J9" s="2"/>
    </row>
    <row r="10" spans="1:10" x14ac:dyDescent="0.25">
      <c r="A10" s="28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112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124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112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140</v>
      </c>
      <c r="B17" s="11">
        <v>20000</v>
      </c>
      <c r="C17" s="1" t="s">
        <v>5</v>
      </c>
      <c r="D17" s="11">
        <v>0</v>
      </c>
      <c r="E17" s="1" t="s">
        <v>6</v>
      </c>
      <c r="F17" s="11">
        <v>25</v>
      </c>
    </row>
    <row r="18" spans="1:6" x14ac:dyDescent="0.25">
      <c r="A18" s="7" t="s">
        <v>141</v>
      </c>
      <c r="B18" s="11">
        <v>20000</v>
      </c>
      <c r="C18" s="1" t="s">
        <v>5</v>
      </c>
      <c r="D18" s="11">
        <v>0</v>
      </c>
      <c r="E18" s="1" t="s">
        <v>6</v>
      </c>
      <c r="F18" s="11">
        <v>26</v>
      </c>
    </row>
    <row r="19" spans="1:6" x14ac:dyDescent="0.25">
      <c r="A19" s="7" t="s">
        <v>142</v>
      </c>
      <c r="B19" s="11">
        <v>20000</v>
      </c>
      <c r="C19" s="1" t="s">
        <v>5</v>
      </c>
      <c r="D19" s="11">
        <v>0</v>
      </c>
      <c r="E19" s="1" t="s">
        <v>6</v>
      </c>
      <c r="F19" s="11">
        <v>27</v>
      </c>
    </row>
    <row r="20" spans="1:6" x14ac:dyDescent="0.25">
      <c r="A20" s="7" t="s">
        <v>143</v>
      </c>
      <c r="B20" s="11">
        <v>20000</v>
      </c>
      <c r="C20" s="1" t="s">
        <v>5</v>
      </c>
      <c r="D20" s="11">
        <v>0</v>
      </c>
      <c r="E20" s="1" t="s">
        <v>6</v>
      </c>
      <c r="F20" s="11">
        <v>28</v>
      </c>
    </row>
    <row r="21" spans="1:6" x14ac:dyDescent="0.25">
      <c r="A21" s="7" t="s">
        <v>144</v>
      </c>
      <c r="B21" s="11">
        <v>20000</v>
      </c>
      <c r="C21" s="1" t="s">
        <v>5</v>
      </c>
      <c r="D21" s="11">
        <v>0</v>
      </c>
      <c r="E21" s="1" t="s">
        <v>6</v>
      </c>
      <c r="F21" s="11">
        <v>29</v>
      </c>
    </row>
    <row r="22" spans="1:6" x14ac:dyDescent="0.25">
      <c r="A22" s="7" t="s">
        <v>145</v>
      </c>
      <c r="B22" s="11">
        <v>20000</v>
      </c>
      <c r="C22" s="1" t="s">
        <v>5</v>
      </c>
      <c r="D22" s="11">
        <v>0</v>
      </c>
      <c r="E22" s="1" t="s">
        <v>6</v>
      </c>
      <c r="F22" s="11">
        <v>30</v>
      </c>
    </row>
    <row r="23" spans="1:6" x14ac:dyDescent="0.25">
      <c r="A23" s="7" t="s">
        <v>146</v>
      </c>
      <c r="B23" s="11">
        <v>20000</v>
      </c>
      <c r="C23" s="1" t="s">
        <v>5</v>
      </c>
      <c r="D23" s="11">
        <v>0</v>
      </c>
      <c r="E23" s="1" t="s">
        <v>6</v>
      </c>
      <c r="F23" s="11">
        <v>31</v>
      </c>
    </row>
    <row r="24" spans="1:6" x14ac:dyDescent="0.25">
      <c r="A24" s="7" t="s">
        <v>147</v>
      </c>
      <c r="B24" s="11">
        <v>20000</v>
      </c>
      <c r="C24" s="1" t="s">
        <v>5</v>
      </c>
      <c r="D24" s="11">
        <v>0</v>
      </c>
      <c r="E24" s="1" t="s">
        <v>6</v>
      </c>
      <c r="F24" s="11">
        <v>32</v>
      </c>
    </row>
    <row r="25" spans="1:6" x14ac:dyDescent="0.25">
      <c r="A25" s="7" t="s">
        <v>148</v>
      </c>
      <c r="B25" s="11">
        <v>20000</v>
      </c>
      <c r="C25" s="1" t="s">
        <v>5</v>
      </c>
      <c r="D25" s="11">
        <v>0</v>
      </c>
      <c r="E25" s="1" t="s">
        <v>6</v>
      </c>
      <c r="F25" s="11">
        <v>33</v>
      </c>
    </row>
    <row r="26" spans="1:6" x14ac:dyDescent="0.25">
      <c r="A26" s="7" t="s">
        <v>149</v>
      </c>
      <c r="B26" s="11">
        <v>20000</v>
      </c>
      <c r="C26" s="1" t="s">
        <v>5</v>
      </c>
      <c r="D26" s="11">
        <v>0</v>
      </c>
      <c r="E26" s="1" t="s">
        <v>6</v>
      </c>
      <c r="F26" s="11">
        <v>34</v>
      </c>
    </row>
    <row r="27" spans="1:6" x14ac:dyDescent="0.25">
      <c r="A27" s="7" t="s">
        <v>150</v>
      </c>
      <c r="B27" s="11">
        <v>20000</v>
      </c>
      <c r="C27" s="1" t="s">
        <v>5</v>
      </c>
      <c r="D27" s="11">
        <v>0</v>
      </c>
      <c r="E27" s="1" t="s">
        <v>6</v>
      </c>
      <c r="F27" s="11">
        <v>35</v>
      </c>
    </row>
    <row r="28" spans="1:6" x14ac:dyDescent="0.25">
      <c r="A28" s="7" t="s">
        <v>151</v>
      </c>
      <c r="B28" s="11">
        <v>20000</v>
      </c>
      <c r="C28" s="1" t="s">
        <v>5</v>
      </c>
      <c r="D28" s="11">
        <v>0</v>
      </c>
      <c r="E28" s="1" t="s">
        <v>6</v>
      </c>
      <c r="F28" s="11">
        <v>36</v>
      </c>
    </row>
    <row r="29" spans="1:6" x14ac:dyDescent="0.25">
      <c r="A29" s="7" t="s">
        <v>152</v>
      </c>
      <c r="B29" s="11">
        <v>20000</v>
      </c>
      <c r="C29" s="1" t="s">
        <v>5</v>
      </c>
      <c r="D29" s="11">
        <v>0</v>
      </c>
      <c r="E29" s="1" t="s">
        <v>6</v>
      </c>
      <c r="F29" s="11">
        <v>37</v>
      </c>
    </row>
    <row r="30" spans="1:6" x14ac:dyDescent="0.25">
      <c r="A30" s="7" t="s">
        <v>153</v>
      </c>
      <c r="B30" s="11">
        <v>20000</v>
      </c>
      <c r="C30" s="1" t="s">
        <v>5</v>
      </c>
      <c r="D30" s="11">
        <v>0</v>
      </c>
      <c r="E30" s="1" t="s">
        <v>6</v>
      </c>
      <c r="F30" s="11">
        <v>38</v>
      </c>
    </row>
    <row r="31" spans="1:6" x14ac:dyDescent="0.25">
      <c r="A31" s="7" t="s">
        <v>154</v>
      </c>
      <c r="B31" s="11">
        <v>20000</v>
      </c>
      <c r="C31" s="1" t="s">
        <v>5</v>
      </c>
      <c r="D31" s="11">
        <v>0</v>
      </c>
      <c r="E31" s="1" t="s">
        <v>6</v>
      </c>
      <c r="F31" s="11">
        <v>39</v>
      </c>
    </row>
    <row r="32" spans="1:6" x14ac:dyDescent="0.25">
      <c r="A32" s="7" t="s">
        <v>155</v>
      </c>
      <c r="B32" s="11">
        <v>20000</v>
      </c>
      <c r="C32" s="1" t="s">
        <v>5</v>
      </c>
      <c r="D32" s="11">
        <v>0</v>
      </c>
      <c r="E32" s="1" t="s">
        <v>6</v>
      </c>
      <c r="F32" s="11">
        <v>40</v>
      </c>
    </row>
    <row r="33" spans="1:6" x14ac:dyDescent="0.25">
      <c r="A33" s="7" t="s">
        <v>156</v>
      </c>
      <c r="B33" s="11">
        <v>20000</v>
      </c>
      <c r="C33" s="1" t="s">
        <v>5</v>
      </c>
      <c r="D33" s="11">
        <v>0</v>
      </c>
      <c r="E33" s="1" t="s">
        <v>6</v>
      </c>
      <c r="F33" s="11">
        <v>41</v>
      </c>
    </row>
    <row r="34" spans="1:6" x14ac:dyDescent="0.25">
      <c r="A34" s="7" t="s">
        <v>157</v>
      </c>
      <c r="B34" s="11">
        <v>20000</v>
      </c>
      <c r="C34" s="1" t="s">
        <v>5</v>
      </c>
      <c r="D34" s="11">
        <v>0</v>
      </c>
      <c r="E34" s="1" t="s">
        <v>6</v>
      </c>
      <c r="F34" s="11">
        <v>42</v>
      </c>
    </row>
    <row r="35" spans="1:6" x14ac:dyDescent="0.25">
      <c r="A35" s="7" t="s">
        <v>158</v>
      </c>
      <c r="B35" s="11">
        <v>20000</v>
      </c>
      <c r="C35" s="1" t="s">
        <v>5</v>
      </c>
      <c r="D35" s="11">
        <v>0</v>
      </c>
      <c r="E35" s="1" t="s">
        <v>6</v>
      </c>
      <c r="F35" s="11">
        <v>43</v>
      </c>
    </row>
    <row r="36" spans="1:6" x14ac:dyDescent="0.25">
      <c r="A36" s="7" t="s">
        <v>159</v>
      </c>
      <c r="B36" s="11">
        <v>20000</v>
      </c>
      <c r="C36" s="1" t="s">
        <v>5</v>
      </c>
      <c r="D36" s="11">
        <v>0</v>
      </c>
      <c r="E36" s="1" t="s">
        <v>6</v>
      </c>
      <c r="F36" s="11">
        <v>44</v>
      </c>
    </row>
    <row r="37" spans="1:6" x14ac:dyDescent="0.25">
      <c r="A37" s="7" t="s">
        <v>160</v>
      </c>
      <c r="B37" s="11">
        <v>20000</v>
      </c>
      <c r="C37" s="1" t="s">
        <v>5</v>
      </c>
      <c r="D37" s="11">
        <v>0</v>
      </c>
      <c r="E37" s="1" t="s">
        <v>6</v>
      </c>
      <c r="F37" s="11">
        <v>45</v>
      </c>
    </row>
    <row r="38" spans="1:6" x14ac:dyDescent="0.25">
      <c r="A38" s="7" t="s">
        <v>161</v>
      </c>
      <c r="B38" s="11">
        <v>20000</v>
      </c>
      <c r="C38" s="1" t="s">
        <v>5</v>
      </c>
      <c r="D38" s="11">
        <v>0</v>
      </c>
      <c r="E38" s="1" t="s">
        <v>6</v>
      </c>
      <c r="F38" s="11">
        <v>46</v>
      </c>
    </row>
    <row r="39" spans="1:6" x14ac:dyDescent="0.25">
      <c r="A39" s="7" t="s">
        <v>162</v>
      </c>
      <c r="B39" s="11">
        <v>20000</v>
      </c>
      <c r="C39" s="1" t="s">
        <v>5</v>
      </c>
      <c r="D39" s="11">
        <v>0</v>
      </c>
      <c r="E39" s="1" t="s">
        <v>6</v>
      </c>
      <c r="F39" s="11">
        <v>47</v>
      </c>
    </row>
    <row r="40" spans="1:6" x14ac:dyDescent="0.25">
      <c r="A40" s="7" t="s">
        <v>163</v>
      </c>
      <c r="B40" s="11">
        <v>20000</v>
      </c>
      <c r="C40" s="1" t="s">
        <v>5</v>
      </c>
      <c r="D40" s="11">
        <v>0</v>
      </c>
      <c r="E40" s="1" t="s">
        <v>6</v>
      </c>
      <c r="F40" s="11">
        <v>48</v>
      </c>
    </row>
    <row r="41" spans="1:6" x14ac:dyDescent="0.25">
      <c r="A41" s="7" t="s">
        <v>164</v>
      </c>
      <c r="B41" s="11">
        <v>20000</v>
      </c>
      <c r="C41" s="1" t="s">
        <v>5</v>
      </c>
      <c r="D41" s="11">
        <v>0</v>
      </c>
      <c r="E41" s="1" t="s">
        <v>6</v>
      </c>
      <c r="F41" s="11">
        <v>49</v>
      </c>
    </row>
    <row r="42" spans="1:6" x14ac:dyDescent="0.25">
      <c r="A42" s="7" t="s">
        <v>165</v>
      </c>
      <c r="B42" s="11">
        <v>20000</v>
      </c>
      <c r="C42" s="1" t="s">
        <v>5</v>
      </c>
      <c r="D42" s="11">
        <v>0</v>
      </c>
      <c r="E42" s="1" t="s">
        <v>6</v>
      </c>
      <c r="F42" s="11">
        <v>50</v>
      </c>
    </row>
    <row r="43" spans="1:6" x14ac:dyDescent="0.25">
      <c r="A43" s="7" t="s">
        <v>166</v>
      </c>
      <c r="B43" s="11">
        <v>20000</v>
      </c>
      <c r="C43" s="1" t="s">
        <v>5</v>
      </c>
      <c r="D43" s="11">
        <v>0</v>
      </c>
      <c r="E43" s="1" t="s">
        <v>6</v>
      </c>
      <c r="F43" s="11">
        <v>51</v>
      </c>
    </row>
    <row r="44" spans="1:6" x14ac:dyDescent="0.25">
      <c r="A44" s="7" t="s">
        <v>167</v>
      </c>
      <c r="B44" s="11">
        <v>20000</v>
      </c>
      <c r="C44" s="1" t="s">
        <v>5</v>
      </c>
      <c r="D44" s="11">
        <v>0</v>
      </c>
      <c r="E44" s="1" t="s">
        <v>6</v>
      </c>
      <c r="F44" s="11">
        <v>52</v>
      </c>
    </row>
    <row r="45" spans="1:6" x14ac:dyDescent="0.25">
      <c r="A45" s="7" t="s">
        <v>168</v>
      </c>
      <c r="B45" s="11">
        <v>20000</v>
      </c>
      <c r="C45" s="1" t="s">
        <v>5</v>
      </c>
      <c r="D45" s="11">
        <v>0</v>
      </c>
      <c r="E45" s="1" t="s">
        <v>6</v>
      </c>
      <c r="F45" s="11">
        <v>53</v>
      </c>
    </row>
    <row r="46" spans="1:6" x14ac:dyDescent="0.25">
      <c r="A46" s="7" t="s">
        <v>169</v>
      </c>
      <c r="B46" s="11">
        <v>20000</v>
      </c>
      <c r="C46" s="1" t="s">
        <v>5</v>
      </c>
      <c r="D46" s="11">
        <v>0</v>
      </c>
      <c r="E46" s="1" t="s">
        <v>6</v>
      </c>
      <c r="F46" s="11">
        <v>54</v>
      </c>
    </row>
    <row r="47" spans="1:6" x14ac:dyDescent="0.25">
      <c r="A47" s="7" t="s">
        <v>170</v>
      </c>
      <c r="B47" s="11">
        <v>20000</v>
      </c>
      <c r="C47" s="1" t="s">
        <v>5</v>
      </c>
      <c r="D47" s="11">
        <v>0</v>
      </c>
      <c r="E47" s="1" t="s">
        <v>6</v>
      </c>
      <c r="F47" s="11">
        <v>55</v>
      </c>
    </row>
    <row r="48" spans="1:6" x14ac:dyDescent="0.25">
      <c r="A48" s="7" t="s">
        <v>171</v>
      </c>
      <c r="B48" s="11">
        <v>20000</v>
      </c>
      <c r="C48" s="1" t="s">
        <v>5</v>
      </c>
      <c r="D48" s="11">
        <v>0</v>
      </c>
      <c r="E48" s="1" t="s">
        <v>6</v>
      </c>
      <c r="F48" s="11">
        <v>56</v>
      </c>
    </row>
    <row r="49" spans="1:6" x14ac:dyDescent="0.25">
      <c r="A49" s="7" t="s">
        <v>172</v>
      </c>
      <c r="B49" s="11">
        <v>20000</v>
      </c>
      <c r="C49" s="1" t="s">
        <v>5</v>
      </c>
      <c r="D49" s="11">
        <v>0</v>
      </c>
      <c r="E49" s="1" t="s">
        <v>6</v>
      </c>
      <c r="F49" s="11">
        <v>57</v>
      </c>
    </row>
    <row r="50" spans="1:6" x14ac:dyDescent="0.25">
      <c r="A50" s="7" t="s">
        <v>173</v>
      </c>
      <c r="B50" s="11">
        <v>20000</v>
      </c>
      <c r="C50" s="1" t="s">
        <v>5</v>
      </c>
      <c r="D50" s="11">
        <v>0</v>
      </c>
      <c r="E50" s="1" t="s">
        <v>6</v>
      </c>
      <c r="F50" s="11">
        <v>58</v>
      </c>
    </row>
    <row r="51" spans="1:6" x14ac:dyDescent="0.25">
      <c r="A51" s="7" t="s">
        <v>174</v>
      </c>
      <c r="B51" s="11">
        <v>20000</v>
      </c>
      <c r="C51" s="1" t="s">
        <v>5</v>
      </c>
      <c r="D51" s="11">
        <v>0</v>
      </c>
      <c r="E51" s="1" t="s">
        <v>6</v>
      </c>
      <c r="F51" s="11">
        <v>59</v>
      </c>
    </row>
    <row r="52" spans="1:6" x14ac:dyDescent="0.25">
      <c r="A52" s="7" t="s">
        <v>175</v>
      </c>
      <c r="B52" s="11">
        <v>20000</v>
      </c>
      <c r="C52" s="1" t="s">
        <v>5</v>
      </c>
      <c r="D52" s="11">
        <v>0</v>
      </c>
      <c r="E52" s="1" t="s">
        <v>6</v>
      </c>
      <c r="F52" s="11">
        <v>60</v>
      </c>
    </row>
    <row r="53" spans="1:6" x14ac:dyDescent="0.25">
      <c r="A53" s="7" t="s">
        <v>176</v>
      </c>
      <c r="B53" s="11">
        <v>20000</v>
      </c>
      <c r="C53" s="1" t="s">
        <v>5</v>
      </c>
      <c r="D53" s="11">
        <v>0</v>
      </c>
      <c r="E53" s="1" t="s">
        <v>6</v>
      </c>
      <c r="F53" s="11">
        <v>61</v>
      </c>
    </row>
    <row r="54" spans="1:6" x14ac:dyDescent="0.25">
      <c r="A54" s="7" t="s">
        <v>177</v>
      </c>
      <c r="B54" s="12">
        <v>20000</v>
      </c>
      <c r="C54" s="9" t="s">
        <v>5</v>
      </c>
      <c r="D54" s="12">
        <v>0</v>
      </c>
      <c r="E54" s="9" t="s">
        <v>6</v>
      </c>
      <c r="F54" s="12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="143"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37" t="s">
        <v>85</v>
      </c>
      <c r="B1" s="36" t="s">
        <v>129</v>
      </c>
    </row>
    <row r="2" spans="1:3" ht="18.75" x14ac:dyDescent="0.3">
      <c r="B2" s="35" t="s">
        <v>128</v>
      </c>
    </row>
    <row r="5" spans="1:3" ht="15" x14ac:dyDescent="0.25">
      <c r="B5" s="1" t="s">
        <v>113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115</v>
      </c>
      <c r="B7" s="1" t="s">
        <v>181</v>
      </c>
    </row>
    <row r="10" spans="1:3" ht="23.25" x14ac:dyDescent="0.35">
      <c r="A10" s="17" t="s">
        <v>124</v>
      </c>
    </row>
    <row r="11" spans="1:3" ht="15" x14ac:dyDescent="0.25">
      <c r="A11" s="27" t="s">
        <v>86</v>
      </c>
      <c r="B11" s="16" t="s">
        <v>87</v>
      </c>
      <c r="C11" s="16" t="s">
        <v>88</v>
      </c>
    </row>
    <row r="12" spans="1:3" ht="15" x14ac:dyDescent="0.25">
      <c r="A12" s="27">
        <v>44927</v>
      </c>
      <c r="B12" s="16" t="s">
        <v>59</v>
      </c>
      <c r="C12" s="16">
        <v>200</v>
      </c>
    </row>
    <row r="13" spans="1:3" ht="15" x14ac:dyDescent="0.25">
      <c r="A13" s="27">
        <v>44928</v>
      </c>
      <c r="B13" s="16" t="s">
        <v>60</v>
      </c>
      <c r="C13" s="16" t="e">
        <v>#N/A</v>
      </c>
    </row>
    <row r="14" spans="1:3" ht="15" x14ac:dyDescent="0.25">
      <c r="A14" s="27">
        <v>44929</v>
      </c>
      <c r="B14" s="16" t="s">
        <v>61</v>
      </c>
      <c r="C14" s="16">
        <v>50</v>
      </c>
    </row>
    <row r="15" spans="1:3" ht="15" x14ac:dyDescent="0.25">
      <c r="A15" s="27">
        <v>44930</v>
      </c>
      <c r="B15" s="16" t="s">
        <v>62</v>
      </c>
      <c r="C15" s="16" t="e">
        <v>#N/A</v>
      </c>
    </row>
    <row r="16" spans="1:3" ht="15" x14ac:dyDescent="0.25">
      <c r="A16" s="27">
        <v>44931</v>
      </c>
      <c r="B16" s="16" t="s">
        <v>63</v>
      </c>
      <c r="C16" s="16">
        <v>10</v>
      </c>
    </row>
    <row r="17" spans="1:3" ht="15" x14ac:dyDescent="0.25">
      <c r="A17" s="27">
        <v>44932</v>
      </c>
      <c r="B17" s="16" t="s">
        <v>116</v>
      </c>
      <c r="C17" s="16">
        <v>150</v>
      </c>
    </row>
    <row r="18" spans="1:3" ht="15" x14ac:dyDescent="0.25">
      <c r="A18" s="27">
        <v>44933</v>
      </c>
      <c r="B18" s="16" t="s">
        <v>117</v>
      </c>
      <c r="C18" s="16">
        <v>80</v>
      </c>
    </row>
    <row r="19" spans="1:3" ht="15" x14ac:dyDescent="0.25">
      <c r="A19" s="27">
        <v>44934</v>
      </c>
      <c r="B19" s="16" t="s">
        <v>118</v>
      </c>
      <c r="C19" s="16" t="e">
        <v>#N/A</v>
      </c>
    </row>
    <row r="20" spans="1:3" ht="15" x14ac:dyDescent="0.25">
      <c r="A20" s="27">
        <v>44935</v>
      </c>
      <c r="B20" s="16" t="s">
        <v>119</v>
      </c>
      <c r="C20" s="16">
        <v>30</v>
      </c>
    </row>
    <row r="21" spans="1:3" ht="15" x14ac:dyDescent="0.25">
      <c r="A21" s="27">
        <v>44936</v>
      </c>
      <c r="B21" s="16" t="s">
        <v>120</v>
      </c>
      <c r="C21" s="16" t="e">
        <v>#N/A</v>
      </c>
    </row>
    <row r="22" spans="1:3" ht="15" x14ac:dyDescent="0.25">
      <c r="B22" s="16" t="s">
        <v>121</v>
      </c>
      <c r="C22" s="24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K24" sqref="K2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7" t="s">
        <v>98</v>
      </c>
      <c r="B1" s="36" t="s">
        <v>137</v>
      </c>
    </row>
    <row r="3" spans="1:14" ht="15" x14ac:dyDescent="0.25">
      <c r="B3" s="1" t="s">
        <v>113</v>
      </c>
    </row>
    <row r="4" spans="1:14" ht="18.75" x14ac:dyDescent="0.3">
      <c r="A4" s="38" t="s">
        <v>53</v>
      </c>
      <c r="B4" s="1"/>
      <c r="C4" s="2" t="s">
        <v>178</v>
      </c>
    </row>
    <row r="5" spans="1:14" ht="18.75" x14ac:dyDescent="0.3">
      <c r="A5" s="38" t="s">
        <v>115</v>
      </c>
      <c r="B5" s="1" t="s">
        <v>180</v>
      </c>
    </row>
    <row r="6" spans="1:14" ht="15" x14ac:dyDescent="0.25">
      <c r="A6" s="3"/>
      <c r="B6" s="1"/>
    </row>
    <row r="8" spans="1:14" ht="23.25" x14ac:dyDescent="0.35">
      <c r="A8" s="17" t="s">
        <v>124</v>
      </c>
      <c r="M8" s="17" t="s">
        <v>125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130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39">
        <f>VLOOKUP(VLOOKUP(A23,$M$10:$N$18,2,FALSE),$A$10:$J$18,MATCH(VLOOKUP(B23,$M$10:$N$18,2,FALSE),$B$9:$J$9,0)+1)</f>
        <v>95</v>
      </c>
    </row>
    <row r="24" spans="1:14" ht="15" x14ac:dyDescent="0.25">
      <c r="A24" s="7">
        <v>10100</v>
      </c>
      <c r="B24" s="11">
        <v>10104</v>
      </c>
      <c r="C24" s="39">
        <f t="shared" ref="C24:C35" si="0">VLOOKUP(VLOOKUP(A24,$M$10:$N$18,2,FALSE),$A$10:$J$18,MATCH(VLOOKUP(B24,$M$10:$N$18,2,FALSE),$B$9:$J$9,0)+1)</f>
        <v>-1</v>
      </c>
    </row>
    <row r="25" spans="1:14" ht="15" x14ac:dyDescent="0.25">
      <c r="A25" s="7">
        <v>10108</v>
      </c>
      <c r="B25" s="11">
        <v>10102</v>
      </c>
      <c r="C25" s="39">
        <f t="shared" si="0"/>
        <v>160</v>
      </c>
    </row>
    <row r="26" spans="1:14" ht="15" x14ac:dyDescent="0.25">
      <c r="A26" s="7">
        <v>10100</v>
      </c>
      <c r="B26" s="11">
        <v>10106</v>
      </c>
      <c r="C26" s="39">
        <f t="shared" si="0"/>
        <v>185</v>
      </c>
    </row>
    <row r="27" spans="1:14" ht="15" x14ac:dyDescent="0.25">
      <c r="A27" s="7">
        <v>10108</v>
      </c>
      <c r="B27" s="11">
        <v>10110</v>
      </c>
      <c r="C27" s="39">
        <f t="shared" si="0"/>
        <v>50</v>
      </c>
    </row>
    <row r="28" spans="1:14" ht="15" x14ac:dyDescent="0.25">
      <c r="A28" s="7">
        <v>10102</v>
      </c>
      <c r="B28" s="11">
        <v>10104</v>
      </c>
      <c r="C28" s="39">
        <f t="shared" si="0"/>
        <v>-1</v>
      </c>
    </row>
    <row r="29" spans="1:14" ht="15" x14ac:dyDescent="0.25">
      <c r="A29" s="7">
        <v>10106</v>
      </c>
      <c r="B29" s="11">
        <v>10108</v>
      </c>
      <c r="C29" s="39">
        <f t="shared" si="0"/>
        <v>70</v>
      </c>
    </row>
    <row r="30" spans="1:14" ht="15" x14ac:dyDescent="0.25">
      <c r="A30" s="7">
        <v>10102</v>
      </c>
      <c r="B30" s="11">
        <v>10106</v>
      </c>
      <c r="C30" s="39">
        <f t="shared" si="0"/>
        <v>90</v>
      </c>
    </row>
    <row r="31" spans="1:14" ht="15" x14ac:dyDescent="0.25">
      <c r="A31" s="7">
        <v>10110</v>
      </c>
      <c r="B31" s="11">
        <v>10114</v>
      </c>
      <c r="C31" s="39">
        <f t="shared" si="0"/>
        <v>180</v>
      </c>
    </row>
    <row r="32" spans="1:14" ht="15" x14ac:dyDescent="0.25">
      <c r="A32" s="7">
        <v>10104</v>
      </c>
      <c r="B32" s="11">
        <v>10106</v>
      </c>
      <c r="C32" s="39">
        <f t="shared" si="0"/>
        <v>60</v>
      </c>
    </row>
    <row r="33" spans="1:3" ht="15" x14ac:dyDescent="0.25">
      <c r="A33" s="7">
        <v>10110</v>
      </c>
      <c r="B33" s="11">
        <v>10112</v>
      </c>
      <c r="C33" s="39">
        <f t="shared" si="0"/>
        <v>115</v>
      </c>
    </row>
    <row r="34" spans="1:3" ht="15" x14ac:dyDescent="0.25">
      <c r="A34" s="7">
        <v>10100</v>
      </c>
      <c r="B34" s="11">
        <v>10114</v>
      </c>
      <c r="C34" s="39">
        <f t="shared" si="0"/>
        <v>480</v>
      </c>
    </row>
    <row r="35" spans="1:3" ht="15" x14ac:dyDescent="0.25">
      <c r="A35" s="8">
        <v>10112</v>
      </c>
      <c r="B35" s="12">
        <v>10116</v>
      </c>
      <c r="C35" s="3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Prakhar Raj</cp:lastModifiedBy>
  <dcterms:created xsi:type="dcterms:W3CDTF">2015-02-10T17:33:11Z</dcterms:created>
  <dcterms:modified xsi:type="dcterms:W3CDTF">2023-12-10T11:09:21Z</dcterms:modified>
</cp:coreProperties>
</file>